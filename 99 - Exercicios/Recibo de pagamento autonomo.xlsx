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lep\Desktop\Curso de Excel\99 - Exercicios\"/>
    </mc:Choice>
  </mc:AlternateContent>
  <xr:revisionPtr revIDLastSave="0" documentId="13_ncr:1_{60E785F9-0E72-4C83-B0D6-5DF2B86B329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PA-Set2018" sheetId="2" r:id="rId1"/>
    <sheet name="RPA-Out2018" sheetId="3" r:id="rId2"/>
    <sheet name="RPA-Ano2018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C9" i="1" s="1"/>
  <c r="E10" i="2"/>
  <c r="C6" i="1" s="1"/>
  <c r="E10" i="3"/>
  <c r="G9" i="3"/>
  <c r="F9" i="3"/>
  <c r="H9" i="3" s="1"/>
  <c r="G8" i="3"/>
  <c r="F8" i="3"/>
  <c r="H8" i="3" s="1"/>
  <c r="G7" i="3"/>
  <c r="F7" i="3"/>
  <c r="H7" i="3" s="1"/>
  <c r="G6" i="3"/>
  <c r="F6" i="3"/>
  <c r="H6" i="3" s="1"/>
  <c r="G5" i="3"/>
  <c r="G10" i="3" s="1"/>
  <c r="F5" i="3"/>
  <c r="H5" i="3" s="1"/>
  <c r="D9" i="1"/>
  <c r="E9" i="1"/>
  <c r="F6" i="1"/>
  <c r="E6" i="1"/>
  <c r="D6" i="1"/>
  <c r="H6" i="2"/>
  <c r="H7" i="2"/>
  <c r="H8" i="2"/>
  <c r="H9" i="2"/>
  <c r="H5" i="2"/>
  <c r="G6" i="2"/>
  <c r="G7" i="2"/>
  <c r="G8" i="2"/>
  <c r="G9" i="2"/>
  <c r="G5" i="2"/>
  <c r="F6" i="2"/>
  <c r="F10" i="2" s="1"/>
  <c r="F7" i="2"/>
  <c r="F8" i="2"/>
  <c r="F9" i="2"/>
  <c r="F5" i="2"/>
  <c r="F9" i="1" l="1"/>
  <c r="H10" i="3"/>
  <c r="F10" i="3"/>
  <c r="H10" i="2"/>
  <c r="G10" i="2"/>
</calcChain>
</file>

<file path=xl/sharedStrings.xml><?xml version="1.0" encoding="utf-8"?>
<sst xmlns="http://schemas.openxmlformats.org/spreadsheetml/2006/main" count="47" uniqueCount="28">
  <si>
    <t>RELATÓRIO DE PAGAMENTO RPA</t>
  </si>
  <si>
    <t xml:space="preserve">MÊS </t>
  </si>
  <si>
    <t>ANO</t>
  </si>
  <si>
    <t>Setembro</t>
  </si>
  <si>
    <t>DATA</t>
  </si>
  <si>
    <t>NOME</t>
  </si>
  <si>
    <t>CPF</t>
  </si>
  <si>
    <t>VALOR DO SERVIÇO</t>
  </si>
  <si>
    <t>INSS DESCONTADO</t>
  </si>
  <si>
    <t>INSS DA EMPRESA</t>
  </si>
  <si>
    <t>VALOR LÍQUIDO A PAGAR</t>
  </si>
  <si>
    <t>Albert Einstein</t>
  </si>
  <si>
    <t>Thomas Edilson</t>
  </si>
  <si>
    <t>George Lucas</t>
  </si>
  <si>
    <t>TOTAL DO PERIODO</t>
  </si>
  <si>
    <t>Tabela de Alíquotas do INSS</t>
  </si>
  <si>
    <t>Descontado do autônomo</t>
  </si>
  <si>
    <t>Contribuição da empresa</t>
  </si>
  <si>
    <t>RESUMO ANUAL DO PAGAMENTO RPA</t>
  </si>
  <si>
    <t>VALOR LÍQUIDO PAGO</t>
  </si>
  <si>
    <t>MÊS</t>
  </si>
  <si>
    <t>VALOR DOS SERVIÇOS</t>
  </si>
  <si>
    <t xml:space="preserve"> INSS DA EMPRESA</t>
  </si>
  <si>
    <t>...</t>
  </si>
  <si>
    <t>TOTAL</t>
  </si>
  <si>
    <t>Outubro</t>
  </si>
  <si>
    <t>Alleph Nogueira</t>
  </si>
  <si>
    <t>Fernanda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</si>
</sst>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00&quot;.&quot;000&quot;.&quot;000&quot;-&quot;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5"/>
      <color theme="9" tint="-0.249977111117893"/>
      <name val="Arial Black"/>
      <family val="2"/>
    </font>
    <font>
      <b/>
      <sz val="12"/>
      <color theme="1"/>
      <name val="Arial"/>
      <family val="2"/>
    </font>
    <font>
      <b/>
      <sz val="12"/>
      <color theme="5" tint="-0.249977111117893"/>
      <name val="Arial"/>
      <family val="2"/>
    </font>
    <font>
      <b/>
      <sz val="9"/>
      <color theme="1"/>
      <name val="Arial Black"/>
      <family val="2"/>
    </font>
    <font>
      <b/>
      <sz val="15"/>
      <color theme="9" tint="-0.499984740745262"/>
      <name val="Arial Black"/>
      <family val="2"/>
    </font>
    <font>
      <b/>
      <sz val="12"/>
      <color theme="5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/>
      <diagonal/>
    </border>
    <border>
      <left/>
      <right/>
      <top style="thin">
        <color theme="3" tint="-0.24994659260841701"/>
      </top>
      <bottom/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/>
      <top/>
      <bottom style="thin">
        <color theme="3" tint="-0.24994659260841701"/>
      </bottom>
      <diagonal/>
    </border>
    <border>
      <left/>
      <right/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167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1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" fontId="1" fillId="0" borderId="10" xfId="0" applyNumberFormat="1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4" fontId="1" fillId="2" borderId="10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 wrapText="1"/>
    </xf>
    <xf numFmtId="0" fontId="10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5883-7B00-416B-A4D8-64021196AAC3}">
  <dimension ref="B2:H14"/>
  <sheetViews>
    <sheetView showGridLines="0" workbookViewId="0">
      <selection activeCell="K9" sqref="K9"/>
    </sheetView>
  </sheetViews>
  <sheetFormatPr defaultRowHeight="33" customHeight="1" x14ac:dyDescent="0.25"/>
  <cols>
    <col min="1" max="1" width="9.140625" style="1"/>
    <col min="2" max="2" width="13.7109375" style="1" customWidth="1"/>
    <col min="3" max="3" width="32" style="1" customWidth="1"/>
    <col min="4" max="4" width="20" style="1" customWidth="1"/>
    <col min="5" max="5" width="14" style="1" customWidth="1"/>
    <col min="6" max="6" width="15.7109375" style="1" bestFit="1" customWidth="1"/>
    <col min="7" max="7" width="13.42578125" style="1" customWidth="1"/>
    <col min="8" max="8" width="16.28515625" style="1" bestFit="1" customWidth="1"/>
    <col min="9" max="16384" width="9.140625" style="1"/>
  </cols>
  <sheetData>
    <row r="2" spans="2:8" ht="33" customHeight="1" x14ac:dyDescent="0.25">
      <c r="B2" s="27" t="s">
        <v>0</v>
      </c>
      <c r="C2" s="28"/>
      <c r="D2" s="28"/>
      <c r="E2" s="28"/>
      <c r="F2" s="29"/>
      <c r="G2" s="30" t="s">
        <v>1</v>
      </c>
      <c r="H2" s="30" t="s">
        <v>2</v>
      </c>
    </row>
    <row r="3" spans="2:8" ht="33" customHeight="1" x14ac:dyDescent="0.25">
      <c r="B3" s="31"/>
      <c r="C3" s="32"/>
      <c r="D3" s="32"/>
      <c r="E3" s="32"/>
      <c r="F3" s="33"/>
      <c r="G3" s="37" t="s">
        <v>3</v>
      </c>
      <c r="H3" s="37">
        <v>2018</v>
      </c>
    </row>
    <row r="4" spans="2:8" ht="33" customHeight="1" x14ac:dyDescent="0.25">
      <c r="B4" s="35" t="s">
        <v>4</v>
      </c>
      <c r="C4" s="35" t="s">
        <v>5</v>
      </c>
      <c r="D4" s="35" t="s">
        <v>6</v>
      </c>
      <c r="E4" s="36" t="s">
        <v>7</v>
      </c>
      <c r="F4" s="36" t="s">
        <v>8</v>
      </c>
      <c r="G4" s="36" t="s">
        <v>9</v>
      </c>
      <c r="H4" s="36" t="s">
        <v>10</v>
      </c>
    </row>
    <row r="5" spans="2:8" ht="33" customHeight="1" x14ac:dyDescent="0.25">
      <c r="B5" s="2">
        <v>43344</v>
      </c>
      <c r="C5" s="3" t="s">
        <v>11</v>
      </c>
      <c r="D5" s="4">
        <v>12345678910</v>
      </c>
      <c r="E5" s="5">
        <v>1200</v>
      </c>
      <c r="F5" s="5">
        <f>E5*$D$13</f>
        <v>132</v>
      </c>
      <c r="G5" s="5">
        <f>E5*$D$14</f>
        <v>240</v>
      </c>
      <c r="H5" s="5">
        <f>E5-F5</f>
        <v>1068</v>
      </c>
    </row>
    <row r="6" spans="2:8" ht="33" customHeight="1" x14ac:dyDescent="0.25">
      <c r="B6" s="2">
        <v>43344</v>
      </c>
      <c r="C6" s="3" t="s">
        <v>12</v>
      </c>
      <c r="D6" s="4">
        <v>15678902710</v>
      </c>
      <c r="E6" s="5">
        <v>955</v>
      </c>
      <c r="F6" s="5">
        <f t="shared" ref="F6:F9" si="0">E6*$D$13</f>
        <v>105.05</v>
      </c>
      <c r="G6" s="5">
        <f t="shared" ref="G6:G9" si="1">E6*$D$14</f>
        <v>191</v>
      </c>
      <c r="H6" s="5">
        <f t="shared" ref="H6:H9" si="2">E6-F6</f>
        <v>849.95</v>
      </c>
    </row>
    <row r="7" spans="2:8" ht="33" customHeight="1" x14ac:dyDescent="0.25">
      <c r="B7" s="2">
        <v>43344</v>
      </c>
      <c r="C7" s="3" t="s">
        <v>13</v>
      </c>
      <c r="D7" s="4">
        <v>12345458719</v>
      </c>
      <c r="E7" s="5">
        <v>345</v>
      </c>
      <c r="F7" s="5">
        <f t="shared" si="0"/>
        <v>37.950000000000003</v>
      </c>
      <c r="G7" s="5">
        <f t="shared" si="1"/>
        <v>69</v>
      </c>
      <c r="H7" s="5">
        <f t="shared" si="2"/>
        <v>307.05</v>
      </c>
    </row>
    <row r="8" spans="2:8" ht="33" customHeight="1" x14ac:dyDescent="0.25">
      <c r="B8" s="2"/>
      <c r="C8" s="3"/>
      <c r="D8" s="4"/>
      <c r="E8" s="5"/>
      <c r="F8" s="5">
        <f t="shared" si="0"/>
        <v>0</v>
      </c>
      <c r="G8" s="5">
        <f t="shared" si="1"/>
        <v>0</v>
      </c>
      <c r="H8" s="5">
        <f t="shared" si="2"/>
        <v>0</v>
      </c>
    </row>
    <row r="9" spans="2:8" ht="33" customHeight="1" x14ac:dyDescent="0.25">
      <c r="B9" s="6"/>
      <c r="C9" s="3"/>
      <c r="D9" s="4"/>
      <c r="E9" s="5"/>
      <c r="F9" s="5">
        <f t="shared" si="0"/>
        <v>0</v>
      </c>
      <c r="G9" s="5">
        <f t="shared" si="1"/>
        <v>0</v>
      </c>
      <c r="H9" s="5">
        <f t="shared" si="2"/>
        <v>0</v>
      </c>
    </row>
    <row r="10" spans="2:8" ht="33" customHeight="1" x14ac:dyDescent="0.25">
      <c r="B10" s="7" t="s">
        <v>14</v>
      </c>
      <c r="C10" s="7"/>
      <c r="D10" s="7"/>
      <c r="E10" s="11">
        <f>SUM(E5:E9)</f>
        <v>2500</v>
      </c>
      <c r="F10" s="11">
        <f>SUM(F5:F9)</f>
        <v>275</v>
      </c>
      <c r="G10" s="11">
        <f>SUM(G5:G9)</f>
        <v>500</v>
      </c>
      <c r="H10" s="11">
        <f t="shared" ref="F10:H10" si="3">SUM(H5:H9)</f>
        <v>2225</v>
      </c>
    </row>
    <row r="12" spans="2:8" ht="33" customHeight="1" x14ac:dyDescent="0.25">
      <c r="B12" s="8" t="s">
        <v>15</v>
      </c>
      <c r="C12" s="8"/>
      <c r="D12" s="8"/>
    </row>
    <row r="13" spans="2:8" ht="33" customHeight="1" x14ac:dyDescent="0.25">
      <c r="B13" s="9" t="s">
        <v>16</v>
      </c>
      <c r="C13" s="9"/>
      <c r="D13" s="10">
        <v>0.11</v>
      </c>
    </row>
    <row r="14" spans="2:8" ht="33" customHeight="1" x14ac:dyDescent="0.25">
      <c r="B14" s="9" t="s">
        <v>17</v>
      </c>
      <c r="C14" s="9"/>
      <c r="D14" s="10">
        <v>0.2</v>
      </c>
    </row>
  </sheetData>
  <mergeCells count="5">
    <mergeCell ref="B13:C13"/>
    <mergeCell ref="B14:C14"/>
    <mergeCell ref="B10:D10"/>
    <mergeCell ref="B12:D12"/>
    <mergeCell ref="B2:F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F099-C688-4AA0-8F4B-F39E978ABD2B}">
  <dimension ref="B2:H14"/>
  <sheetViews>
    <sheetView showGridLines="0" workbookViewId="0">
      <selection activeCell="B2" sqref="B2:H4"/>
    </sheetView>
  </sheetViews>
  <sheetFormatPr defaultRowHeight="33" customHeight="1" x14ac:dyDescent="0.25"/>
  <cols>
    <col min="1" max="1" width="9.140625" style="1"/>
    <col min="2" max="2" width="13.7109375" style="1" customWidth="1"/>
    <col min="3" max="3" width="32" style="1" customWidth="1"/>
    <col min="4" max="4" width="20" style="1" customWidth="1"/>
    <col min="5" max="5" width="14" style="1" customWidth="1"/>
    <col min="6" max="6" width="15.7109375" style="1" bestFit="1" customWidth="1"/>
    <col min="7" max="7" width="13.42578125" style="1" customWidth="1"/>
    <col min="8" max="8" width="16.28515625" style="1" bestFit="1" customWidth="1"/>
    <col min="9" max="16384" width="9.140625" style="1"/>
  </cols>
  <sheetData>
    <row r="2" spans="2:8" ht="33" customHeight="1" x14ac:dyDescent="0.25">
      <c r="B2" s="27" t="s">
        <v>0</v>
      </c>
      <c r="C2" s="28"/>
      <c r="D2" s="28"/>
      <c r="E2" s="28"/>
      <c r="F2" s="29"/>
      <c r="G2" s="30" t="s">
        <v>1</v>
      </c>
      <c r="H2" s="30" t="s">
        <v>2</v>
      </c>
    </row>
    <row r="3" spans="2:8" ht="33" customHeight="1" x14ac:dyDescent="0.25">
      <c r="B3" s="31"/>
      <c r="C3" s="32"/>
      <c r="D3" s="32"/>
      <c r="E3" s="32"/>
      <c r="F3" s="33"/>
      <c r="G3" s="34" t="s">
        <v>25</v>
      </c>
      <c r="H3" s="34">
        <v>2018</v>
      </c>
    </row>
    <row r="4" spans="2:8" ht="33" customHeight="1" x14ac:dyDescent="0.25">
      <c r="B4" s="35" t="s">
        <v>4</v>
      </c>
      <c r="C4" s="35" t="s">
        <v>5</v>
      </c>
      <c r="D4" s="35" t="s">
        <v>6</v>
      </c>
      <c r="E4" s="36" t="s">
        <v>7</v>
      </c>
      <c r="F4" s="36" t="s">
        <v>8</v>
      </c>
      <c r="G4" s="36" t="s">
        <v>9</v>
      </c>
      <c r="H4" s="36" t="s">
        <v>10</v>
      </c>
    </row>
    <row r="5" spans="2:8" ht="33" customHeight="1" x14ac:dyDescent="0.25">
      <c r="B5" s="2">
        <v>42278</v>
      </c>
      <c r="C5" s="3" t="s">
        <v>26</v>
      </c>
      <c r="D5" s="4">
        <v>101010101</v>
      </c>
      <c r="E5" s="5">
        <v>3200</v>
      </c>
      <c r="F5" s="5">
        <f>E5*$D$13</f>
        <v>352</v>
      </c>
      <c r="G5" s="5">
        <f>E5*$D$14</f>
        <v>640</v>
      </c>
      <c r="H5" s="5">
        <f>E5-F5</f>
        <v>2848</v>
      </c>
    </row>
    <row r="6" spans="2:8" ht="33" customHeight="1" x14ac:dyDescent="0.25">
      <c r="B6" s="2">
        <v>45931</v>
      </c>
      <c r="C6" s="3" t="s">
        <v>27</v>
      </c>
      <c r="D6" s="4">
        <v>505420156</v>
      </c>
      <c r="E6" s="5">
        <v>1200</v>
      </c>
      <c r="F6" s="5">
        <f t="shared" ref="F6:F9" si="0">E6*$D$13</f>
        <v>132</v>
      </c>
      <c r="G6" s="5">
        <f t="shared" ref="G6:G9" si="1">E6*$D$14</f>
        <v>240</v>
      </c>
      <c r="H6" s="5">
        <f t="shared" ref="H6:H9" si="2">E6-F6</f>
        <v>1068</v>
      </c>
    </row>
    <row r="7" spans="2:8" ht="33" customHeight="1" x14ac:dyDescent="0.25">
      <c r="B7" s="2"/>
      <c r="C7" s="3"/>
      <c r="D7" s="4"/>
      <c r="E7" s="5"/>
      <c r="F7" s="5">
        <f t="shared" si="0"/>
        <v>0</v>
      </c>
      <c r="G7" s="5">
        <f t="shared" si="1"/>
        <v>0</v>
      </c>
      <c r="H7" s="5">
        <f t="shared" si="2"/>
        <v>0</v>
      </c>
    </row>
    <row r="8" spans="2:8" ht="33" customHeight="1" x14ac:dyDescent="0.25">
      <c r="B8" s="2"/>
      <c r="C8" s="3"/>
      <c r="D8" s="4"/>
      <c r="E8" s="5"/>
      <c r="F8" s="5">
        <f t="shared" si="0"/>
        <v>0</v>
      </c>
      <c r="G8" s="5">
        <f t="shared" si="1"/>
        <v>0</v>
      </c>
      <c r="H8" s="5">
        <f t="shared" si="2"/>
        <v>0</v>
      </c>
    </row>
    <row r="9" spans="2:8" ht="33" customHeight="1" x14ac:dyDescent="0.25">
      <c r="B9" s="6"/>
      <c r="C9" s="3"/>
      <c r="D9" s="4"/>
      <c r="E9" s="5"/>
      <c r="F9" s="5">
        <f t="shared" si="0"/>
        <v>0</v>
      </c>
      <c r="G9" s="5">
        <f t="shared" si="1"/>
        <v>0</v>
      </c>
      <c r="H9" s="5">
        <f t="shared" si="2"/>
        <v>0</v>
      </c>
    </row>
    <row r="10" spans="2:8" ht="33" customHeight="1" x14ac:dyDescent="0.25">
      <c r="B10" s="7" t="s">
        <v>14</v>
      </c>
      <c r="C10" s="7"/>
      <c r="D10" s="7"/>
      <c r="E10" s="11">
        <f>SUM(E5:E9)</f>
        <v>4400</v>
      </c>
      <c r="F10" s="11">
        <f>SUM(F5:F9)</f>
        <v>484</v>
      </c>
      <c r="G10" s="11">
        <f>SUM(G5:G9)</f>
        <v>880</v>
      </c>
      <c r="H10" s="11">
        <f t="shared" ref="H10" si="3">SUM(H5:H9)</f>
        <v>3916</v>
      </c>
    </row>
    <row r="12" spans="2:8" ht="33" customHeight="1" x14ac:dyDescent="0.25">
      <c r="B12" s="8" t="s">
        <v>15</v>
      </c>
      <c r="C12" s="8"/>
      <c r="D12" s="8"/>
    </row>
    <row r="13" spans="2:8" ht="33" customHeight="1" x14ac:dyDescent="0.25">
      <c r="B13" s="9" t="s">
        <v>16</v>
      </c>
      <c r="C13" s="9"/>
      <c r="D13" s="10">
        <v>0.11</v>
      </c>
    </row>
    <row r="14" spans="2:8" ht="33" customHeight="1" x14ac:dyDescent="0.25">
      <c r="B14" s="9" t="s">
        <v>17</v>
      </c>
      <c r="C14" s="9"/>
      <c r="D14" s="10">
        <v>0.2</v>
      </c>
    </row>
  </sheetData>
  <mergeCells count="5">
    <mergeCell ref="B2:F3"/>
    <mergeCell ref="B10:D10"/>
    <mergeCell ref="B12:D12"/>
    <mergeCell ref="B13:C13"/>
    <mergeCell ref="B14:C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showGridLines="0" tabSelected="1" workbookViewId="0">
      <selection activeCell="K16" sqref="K16"/>
    </sheetView>
  </sheetViews>
  <sheetFormatPr defaultRowHeight="24.75" customHeight="1" x14ac:dyDescent="0.2"/>
  <cols>
    <col min="1" max="1" width="9.140625" style="12"/>
    <col min="2" max="2" width="12.28515625" style="12" customWidth="1"/>
    <col min="3" max="3" width="18.42578125" style="12" customWidth="1"/>
    <col min="4" max="4" width="20.85546875" style="12" customWidth="1"/>
    <col min="5" max="5" width="18.85546875" style="12" customWidth="1"/>
    <col min="6" max="6" width="18.7109375" style="12" customWidth="1"/>
    <col min="7" max="16384" width="9.140625" style="12"/>
  </cols>
  <sheetData>
    <row r="2" spans="2:6" ht="24.75" customHeight="1" x14ac:dyDescent="0.2">
      <c r="B2" s="18" t="s">
        <v>18</v>
      </c>
      <c r="C2" s="19"/>
      <c r="D2" s="19"/>
      <c r="E2" s="20"/>
      <c r="F2" s="21" t="s">
        <v>2</v>
      </c>
    </row>
    <row r="3" spans="2:6" ht="24.75" customHeight="1" x14ac:dyDescent="0.2">
      <c r="B3" s="22"/>
      <c r="C3" s="23"/>
      <c r="D3" s="23"/>
      <c r="E3" s="24"/>
      <c r="F3" s="25">
        <v>2018</v>
      </c>
    </row>
    <row r="4" spans="2:6" ht="30" x14ac:dyDescent="0.2">
      <c r="B4" s="13" t="s">
        <v>20</v>
      </c>
      <c r="C4" s="14" t="s">
        <v>21</v>
      </c>
      <c r="D4" s="14" t="s">
        <v>8</v>
      </c>
      <c r="E4" s="14" t="s">
        <v>22</v>
      </c>
      <c r="F4" s="14" t="s">
        <v>19</v>
      </c>
    </row>
    <row r="5" spans="2:6" ht="24.75" customHeight="1" x14ac:dyDescent="0.2">
      <c r="B5" s="15" t="s">
        <v>23</v>
      </c>
      <c r="C5" s="17"/>
      <c r="D5" s="17"/>
      <c r="E5" s="17"/>
      <c r="F5" s="17"/>
    </row>
    <row r="6" spans="2:6" ht="24.75" customHeight="1" x14ac:dyDescent="0.2">
      <c r="B6" s="15" t="s">
        <v>3</v>
      </c>
      <c r="C6" s="17">
        <f>'RPA-Set2018'!E10</f>
        <v>2500</v>
      </c>
      <c r="D6" s="17">
        <f>'RPA-Set2018'!F10</f>
        <v>275</v>
      </c>
      <c r="E6" s="17">
        <f>'RPA-Set2018'!G10</f>
        <v>500</v>
      </c>
      <c r="F6" s="17">
        <f>'RPA-Set2018'!H10</f>
        <v>2225</v>
      </c>
    </row>
    <row r="7" spans="2:6" ht="24.75" customHeight="1" x14ac:dyDescent="0.2">
      <c r="B7" s="15" t="s">
        <v>25</v>
      </c>
      <c r="C7" s="17">
        <f>'RPA-Out2018'!E10</f>
        <v>4400</v>
      </c>
      <c r="D7" s="17">
        <f>'RPA-Out2018'!F10</f>
        <v>484</v>
      </c>
      <c r="E7" s="17">
        <f>'RPA-Out2018'!G10</f>
        <v>880</v>
      </c>
      <c r="F7" s="17">
        <f>'RPA-Out2018'!H10</f>
        <v>3916</v>
      </c>
    </row>
    <row r="8" spans="2:6" ht="24.75" customHeight="1" x14ac:dyDescent="0.2">
      <c r="B8" s="15" t="s">
        <v>23</v>
      </c>
      <c r="C8" s="17"/>
      <c r="D8" s="17"/>
      <c r="E8" s="17"/>
      <c r="F8" s="17"/>
    </row>
    <row r="9" spans="2:6" ht="24.75" customHeight="1" x14ac:dyDescent="0.2">
      <c r="B9" s="16" t="s">
        <v>24</v>
      </c>
      <c r="C9" s="26">
        <f>SUM(C5:C8)</f>
        <v>6900</v>
      </c>
      <c r="D9" s="26">
        <f>SUM(D5:D8)</f>
        <v>759</v>
      </c>
      <c r="E9" s="26">
        <f>SUM(E5:E8)</f>
        <v>1380</v>
      </c>
      <c r="F9" s="26">
        <f>SUM(F5:F8)</f>
        <v>6141</v>
      </c>
    </row>
  </sheetData>
  <mergeCells count="1"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RPA-Set2018</vt:lpstr>
      <vt:lpstr>RPA-Out2018</vt:lpstr>
      <vt:lpstr>RPA-Ano2018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Alleph Nogueira</dc:creator>
  <cp:lastModifiedBy>Alleph Nogueira</cp:lastModifiedBy>
  <dcterms:created xsi:type="dcterms:W3CDTF">2015-06-05T18:17:20Z</dcterms:created>
  <dcterms:modified xsi:type="dcterms:W3CDTF">2025-11-04T14:28:39Z</dcterms:modified>
</cp:coreProperties>
</file>